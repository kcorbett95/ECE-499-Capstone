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vic-my.sharepoint.com/personal/kcorbett95_uvic_ca/Documents/Documents/School/Uvic/Semester 4B/ECE 499 CAPSTONE/"/>
    </mc:Choice>
  </mc:AlternateContent>
  <xr:revisionPtr revIDLastSave="0" documentId="8_{49D7FC49-D921-4A47-830E-7F2679595544}" xr6:coauthVersionLast="36" xr6:coauthVersionMax="36" xr10:uidLastSave="{00000000-0000-0000-0000-000000000000}"/>
  <bookViews>
    <workbookView xWindow="0" yWindow="0" windowWidth="29565" windowHeight="10425" xr2:uid="{29A0DAA7-B4E1-418D-BC57-3A2711CD16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G12" i="1"/>
  <c r="F12" i="1"/>
  <c r="H3" i="1"/>
  <c r="H4" i="1"/>
  <c r="H5" i="1"/>
  <c r="H6" i="1"/>
  <c r="H7" i="1"/>
  <c r="H11" i="1" s="1"/>
  <c r="H8" i="1"/>
  <c r="H9" i="1"/>
  <c r="H2" i="1"/>
  <c r="F11" i="1"/>
  <c r="F10" i="1"/>
  <c r="G4" i="1" s="1"/>
  <c r="E3" i="1"/>
  <c r="E4" i="1"/>
  <c r="E5" i="1"/>
  <c r="E6" i="1"/>
  <c r="E7" i="1"/>
  <c r="E8" i="1"/>
  <c r="E9" i="1"/>
  <c r="E2" i="1"/>
  <c r="H10" i="1" l="1"/>
  <c r="G10" i="1"/>
  <c r="G3" i="1"/>
  <c r="G2" i="1"/>
  <c r="G9" i="1"/>
  <c r="G8" i="1"/>
  <c r="G7" i="1"/>
  <c r="G6" i="1"/>
  <c r="G5" i="1"/>
  <c r="G11" i="1" l="1"/>
</calcChain>
</file>

<file path=xl/sharedStrings.xml><?xml version="1.0" encoding="utf-8"?>
<sst xmlns="http://schemas.openxmlformats.org/spreadsheetml/2006/main" count="35" uniqueCount="32">
  <si>
    <t>|Z| </t>
  </si>
  <si>
    <t>L (uH) </t>
  </si>
  <si>
    <t>DCR (Ω) </t>
  </si>
  <si>
    <t>0.63464946 </t>
  </si>
  <si>
    <t>62.6760838 </t>
  </si>
  <si>
    <t>0.5027 </t>
  </si>
  <si>
    <t>0.63183471 </t>
  </si>
  <si>
    <t>59.4339595 </t>
  </si>
  <si>
    <t>0.48812 </t>
  </si>
  <si>
    <t>0.6334601 </t>
  </si>
  <si>
    <t>62.3705611 </t>
  </si>
  <si>
    <t>0.49712 </t>
  </si>
  <si>
    <t>0.63312188 </t>
  </si>
  <si>
    <t>62.2835111 </t>
  </si>
  <si>
    <t>0.50239 </t>
  </si>
  <si>
    <t>0.63294928 </t>
  </si>
  <si>
    <t>62.2390579 </t>
  </si>
  <si>
    <t>0.51193 </t>
  </si>
  <si>
    <t>0.63149508 </t>
  </si>
  <si>
    <t>61.9111485 </t>
  </si>
  <si>
    <t>0.49255 </t>
  </si>
  <si>
    <t>0.62993401 </t>
  </si>
  <si>
    <t>61.4592786 </t>
  </si>
  <si>
    <t>0.49215 </t>
  </si>
  <si>
    <t>0.62984086 </t>
  </si>
  <si>
    <t>61.4350918 </t>
  </si>
  <si>
    <t>0.49459 </t>
  </si>
  <si>
    <t>Mean</t>
  </si>
  <si>
    <t>% of mean</t>
  </si>
  <si>
    <t>Variance</t>
  </si>
  <si>
    <t>Error from 62uH</t>
  </si>
  <si>
    <t>95th 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</si>
</sst>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0.0000%"/>
    <numFmt numFmtId="172" formatCode="0.0000"/>
    <numFmt numFmtId="174" formatCode="0.000000"/>
    <numFmt numFmtId="175" formatCode="0.0000000"/>
    <numFmt numFmtId="180" formatCode="0.0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170" fontId="3" fillId="2" borderId="12" xfId="1" applyNumberFormat="1" applyFont="1" applyFill="1" applyBorder="1" applyAlignment="1">
      <alignment horizontal="center" vertical="center" wrapText="1"/>
    </xf>
    <xf numFmtId="0" fontId="2" fillId="0" borderId="0" xfId="0" applyFont="1"/>
    <xf numFmtId="175" fontId="3" fillId="2" borderId="1" xfId="0" applyNumberFormat="1" applyFont="1" applyFill="1" applyBorder="1" applyAlignment="1">
      <alignment horizontal="center" vertical="center" wrapText="1"/>
    </xf>
    <xf numFmtId="175" fontId="3" fillId="2" borderId="8" xfId="0" applyNumberFormat="1" applyFont="1" applyFill="1" applyBorder="1" applyAlignment="1">
      <alignment horizontal="center" vertical="center" wrapText="1"/>
    </xf>
    <xf numFmtId="2" fontId="2" fillId="0" borderId="0" xfId="0" applyNumberFormat="1" applyFont="1"/>
    <xf numFmtId="170" fontId="4" fillId="2" borderId="12" xfId="1" applyNumberFormat="1" applyFont="1" applyFill="1" applyBorder="1" applyAlignment="1">
      <alignment horizontal="center" vertical="center" wrapText="1"/>
    </xf>
    <xf numFmtId="180" fontId="4" fillId="2" borderId="0" xfId="1" applyNumberFormat="1" applyFont="1" applyFill="1" applyBorder="1" applyAlignment="1">
      <alignment horizontal="center" vertical="center" wrapText="1"/>
    </xf>
    <xf numFmtId="172" fontId="2" fillId="0" borderId="0" xfId="1" applyNumberFormat="1" applyFont="1"/>
    <xf numFmtId="174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CFA2-2F19-4688-9512-CABE5963AEF0}">
  <dimension ref="A1:I12"/>
  <sheetViews>
    <sheetView tabSelected="1" workbookViewId="0">
      <selection activeCell="E12" sqref="E12"/>
    </sheetView>
  </sheetViews>
  <sheetFormatPr defaultRowHeight="15" x14ac:dyDescent="0.25"/>
  <cols>
    <col min="1" max="1" width="12.7109375" customWidth="1"/>
    <col min="2" max="2" width="18.28515625" customWidth="1"/>
    <col min="3" max="3" width="9" bestFit="1" customWidth="1"/>
    <col min="5" max="5" width="20.28515625" customWidth="1"/>
    <col min="6" max="6" width="25.28515625" customWidth="1"/>
    <col min="7" max="8" width="20.5703125" customWidth="1"/>
  </cols>
  <sheetData>
    <row r="1" spans="1:9" ht="32.25" thickBot="1" x14ac:dyDescent="0.3">
      <c r="A1" s="2" t="s">
        <v>0</v>
      </c>
      <c r="B1" s="3" t="s">
        <v>1</v>
      </c>
      <c r="C1" s="4" t="s">
        <v>2</v>
      </c>
      <c r="E1" s="2" t="s">
        <v>0</v>
      </c>
      <c r="F1" s="3" t="s">
        <v>1</v>
      </c>
      <c r="G1" s="11" t="s">
        <v>28</v>
      </c>
      <c r="H1" s="11" t="s">
        <v>30</v>
      </c>
      <c r="I1" s="4" t="s">
        <v>2</v>
      </c>
    </row>
    <row r="2" spans="1:9" ht="16.5" thickBot="1" x14ac:dyDescent="0.3">
      <c r="A2" s="5" t="s">
        <v>3</v>
      </c>
      <c r="B2" s="1" t="s">
        <v>4</v>
      </c>
      <c r="C2" s="6" t="s">
        <v>5</v>
      </c>
      <c r="E2" s="10">
        <f>SQRT(((2*PI()*1000*F2/1000000)^2)+(I2^2))</f>
        <v>0.63858438873730783</v>
      </c>
      <c r="F2" s="14">
        <v>62.676083800000001</v>
      </c>
      <c r="G2" s="12">
        <f>F2/$F$10</f>
        <v>0.98545618026581028</v>
      </c>
      <c r="H2" s="12">
        <f>(F2-62)/62</f>
        <v>1.090457741935485E-2</v>
      </c>
      <c r="I2" s="6">
        <v>0.50270000000000004</v>
      </c>
    </row>
    <row r="3" spans="1:9" ht="16.5" thickBot="1" x14ac:dyDescent="0.3">
      <c r="A3" s="5" t="s">
        <v>6</v>
      </c>
      <c r="B3" s="1" t="s">
        <v>7</v>
      </c>
      <c r="C3" s="6" t="s">
        <v>8</v>
      </c>
      <c r="E3" s="10">
        <f t="shared" ref="E3:E9" si="0">SQRT(((2*PI()*1000*F3/1000000)^2)+(I3^2))</f>
        <v>0.65466750031271348</v>
      </c>
      <c r="F3" s="14">
        <v>69.4339595</v>
      </c>
      <c r="G3" s="12">
        <f t="shared" ref="G3:G10" si="1">F3/$F$10</f>
        <v>1.0917102722617933</v>
      </c>
      <c r="H3" s="12">
        <f t="shared" ref="H3:H10" si="2">(F3-62)/62</f>
        <v>0.11990257258064517</v>
      </c>
      <c r="I3" s="6">
        <v>0.48812</v>
      </c>
    </row>
    <row r="4" spans="1:9" ht="16.5" thickBot="1" x14ac:dyDescent="0.3">
      <c r="A4" s="5" t="s">
        <v>9</v>
      </c>
      <c r="B4" s="1" t="s">
        <v>10</v>
      </c>
      <c r="C4" s="6" t="s">
        <v>11</v>
      </c>
      <c r="E4" s="10">
        <f t="shared" si="0"/>
        <v>0.63301087608097484</v>
      </c>
      <c r="F4" s="14">
        <v>62.370561100000003</v>
      </c>
      <c r="G4" s="12">
        <f t="shared" si="1"/>
        <v>0.9806524462946955</v>
      </c>
      <c r="H4" s="12">
        <f t="shared" si="2"/>
        <v>5.9767919354839242E-3</v>
      </c>
      <c r="I4" s="6">
        <v>0.49712000000000001</v>
      </c>
    </row>
    <row r="5" spans="1:9" ht="16.5" thickBot="1" x14ac:dyDescent="0.3">
      <c r="A5" s="5" t="s">
        <v>12</v>
      </c>
      <c r="B5" s="1" t="s">
        <v>13</v>
      </c>
      <c r="C5" s="6" t="s">
        <v>14</v>
      </c>
      <c r="E5" s="10">
        <f t="shared" si="0"/>
        <v>0.63682164003700992</v>
      </c>
      <c r="F5" s="14">
        <v>62.283511099999998</v>
      </c>
      <c r="G5" s="12">
        <f t="shared" si="1"/>
        <v>0.97928375898542008</v>
      </c>
      <c r="H5" s="12">
        <f t="shared" si="2"/>
        <v>4.5727596774193281E-3</v>
      </c>
      <c r="I5" s="6">
        <v>0.50239</v>
      </c>
    </row>
    <row r="6" spans="1:9" ht="16.5" thickBot="1" x14ac:dyDescent="0.3">
      <c r="A6" s="5" t="s">
        <v>15</v>
      </c>
      <c r="B6" s="1" t="s">
        <v>16</v>
      </c>
      <c r="C6" s="6" t="s">
        <v>17</v>
      </c>
      <c r="E6" s="10">
        <f t="shared" si="0"/>
        <v>0.64420484640675946</v>
      </c>
      <c r="F6" s="14">
        <v>62.239057899999999</v>
      </c>
      <c r="G6" s="12">
        <f t="shared" si="1"/>
        <v>0.97858482124048407</v>
      </c>
      <c r="H6" s="12">
        <f t="shared" si="2"/>
        <v>3.8557725806451421E-3</v>
      </c>
      <c r="I6" s="6">
        <v>0.51193</v>
      </c>
    </row>
    <row r="7" spans="1:9" ht="16.5" thickBot="1" x14ac:dyDescent="0.3">
      <c r="A7" s="5" t="s">
        <v>18</v>
      </c>
      <c r="B7" s="1" t="s">
        <v>19</v>
      </c>
      <c r="C7" s="6" t="s">
        <v>20</v>
      </c>
      <c r="E7" s="10">
        <f t="shared" si="0"/>
        <v>0.64757578457237441</v>
      </c>
      <c r="F7" s="14">
        <v>66.911148499999996</v>
      </c>
      <c r="G7" s="12">
        <f t="shared" si="1"/>
        <v>1.0520441102928066</v>
      </c>
      <c r="H7" s="12">
        <f t="shared" si="2"/>
        <v>7.9212072580645096E-2</v>
      </c>
      <c r="I7" s="6">
        <v>0.49254999999999999</v>
      </c>
    </row>
    <row r="8" spans="1:9" ht="16.5" thickBot="1" x14ac:dyDescent="0.3">
      <c r="A8" s="5" t="s">
        <v>21</v>
      </c>
      <c r="B8" s="1" t="s">
        <v>22</v>
      </c>
      <c r="C8" s="6" t="s">
        <v>23</v>
      </c>
      <c r="E8" s="10">
        <f t="shared" si="0"/>
        <v>0.62556470179111989</v>
      </c>
      <c r="F8" s="14">
        <v>61.459278599999998</v>
      </c>
      <c r="G8" s="12">
        <f t="shared" si="1"/>
        <v>0.96632434987982219</v>
      </c>
      <c r="H8" s="12">
        <f t="shared" si="2"/>
        <v>-8.7213129032258467E-3</v>
      </c>
      <c r="I8" s="6">
        <v>0.49214999999999998</v>
      </c>
    </row>
    <row r="9" spans="1:9" ht="16.5" thickBot="1" x14ac:dyDescent="0.3">
      <c r="A9" s="7" t="s">
        <v>24</v>
      </c>
      <c r="B9" s="8" t="s">
        <v>25</v>
      </c>
      <c r="C9" s="9" t="s">
        <v>26</v>
      </c>
      <c r="E9" s="10">
        <f t="shared" si="0"/>
        <v>0.62739261649102174</v>
      </c>
      <c r="F9" s="15">
        <v>61.435091800000002</v>
      </c>
      <c r="G9" s="12">
        <f t="shared" si="1"/>
        <v>0.96594406077916761</v>
      </c>
      <c r="H9" s="12">
        <f t="shared" si="2"/>
        <v>-9.1114225806451267E-3</v>
      </c>
      <c r="I9" s="9">
        <v>0.49458999999999997</v>
      </c>
    </row>
    <row r="10" spans="1:9" ht="16.5" thickBot="1" x14ac:dyDescent="0.3">
      <c r="E10" s="13" t="s">
        <v>27</v>
      </c>
      <c r="F10" s="16">
        <f>AVERAGE(F2:F9)</f>
        <v>63.601086537500002</v>
      </c>
      <c r="G10" s="17">
        <f t="shared" si="1"/>
        <v>1</v>
      </c>
      <c r="H10" s="17">
        <f t="shared" si="2"/>
        <v>2.5823976411290358E-2</v>
      </c>
    </row>
    <row r="11" spans="1:9" ht="15.75" x14ac:dyDescent="0.25">
      <c r="E11" s="13" t="s">
        <v>29</v>
      </c>
      <c r="F11" s="13">
        <f>_xlfn.VAR.P(F2:F9)</f>
        <v>7.5273426994823796</v>
      </c>
      <c r="G11" s="18">
        <f>_xlfn.VAR.P(G2:G9)</f>
        <v>1.8608553639560212E-3</v>
      </c>
      <c r="H11" s="18">
        <f>_xlfn.VAR.P(H2:H9)</f>
        <v>1.9582056970557705E-3</v>
      </c>
    </row>
    <row r="12" spans="1:9" x14ac:dyDescent="0.25">
      <c r="E12" s="13" t="s">
        <v>31</v>
      </c>
      <c r="F12" s="13">
        <f>_xlfn.PERCENTILE.INC(F2:F9, 0.95)</f>
        <v>68.550975649999998</v>
      </c>
      <c r="G12" s="19">
        <f>_xlfn.PERCENTILE.INC(G2:G9, 0.95)</f>
        <v>1.077827115572648</v>
      </c>
      <c r="H12" s="20">
        <f>_xlfn.PERCENTILE.INC(H2:H9, 0.95)</f>
        <v>0.10566089758064512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</dc:creator>
  <cp:lastModifiedBy>Kev</cp:lastModifiedBy>
  <dcterms:created xsi:type="dcterms:W3CDTF">2026-07-31T22:11:17Z</dcterms:created>
  <dcterms:modified xsi:type="dcterms:W3CDTF">2026-08-04T14:29:51Z</dcterms:modified>
</cp:coreProperties>
</file>